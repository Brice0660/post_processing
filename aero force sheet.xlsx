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ti-bernracingteam/Freigegebene Dokumente/General/BERN_RACING_TEAM/04_Ventura_Season_2026/04_Departments/20_Aerodynamics/01_Documents/"/>
    </mc:Choice>
  </mc:AlternateContent>
  <xr:revisionPtr revIDLastSave="1544" documentId="13_ncr:1_{E29FAD52-8181-4AE6-82BD-8D3326675E26}" xr6:coauthVersionLast="47" xr6:coauthVersionMax="47" xr10:uidLastSave="{41D6ADBB-BC23-49C2-B6BA-F53686A188CA}"/>
  <bookViews>
    <workbookView xWindow="168" yWindow="612" windowWidth="11016" windowHeight="12168" xr2:uid="{57FF6CE3-4B51-4D5E-B371-44CD8D2BF255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1" l="1"/>
  <c r="X22" i="1"/>
  <c r="X21" i="1"/>
  <c r="X20" i="1"/>
  <c r="H19" i="1"/>
  <c r="H20" i="1" s="1"/>
  <c r="D11" i="1"/>
  <c r="D12" i="1"/>
  <c r="C37" i="1" s="1"/>
  <c r="D13" i="1"/>
  <c r="C38" i="1" s="1"/>
  <c r="D14" i="1"/>
  <c r="D15" i="1"/>
  <c r="C40" i="1" s="1"/>
  <c r="I11" i="1"/>
  <c r="I12" i="1"/>
  <c r="I13" i="1"/>
  <c r="AA38" i="1" s="1"/>
  <c r="I14" i="1"/>
  <c r="F39" i="1" s="1"/>
  <c r="I15" i="1"/>
  <c r="AA40" i="1" s="1"/>
  <c r="C39" i="1"/>
  <c r="N24" i="1"/>
  <c r="N22" i="1"/>
  <c r="N21" i="1"/>
  <c r="N20" i="1"/>
  <c r="AA39" i="1"/>
  <c r="X39" i="1"/>
  <c r="AB24" i="1"/>
  <c r="X36" i="1" l="1"/>
  <c r="AE20" i="1"/>
  <c r="F37" i="1"/>
  <c r="F36" i="1"/>
  <c r="AA37" i="1"/>
  <c r="AA36" i="1"/>
  <c r="X37" i="1"/>
  <c r="X38" i="1"/>
  <c r="X40" i="1"/>
  <c r="AE19" i="1"/>
  <c r="F38" i="1"/>
  <c r="R24" i="1"/>
  <c r="U20" i="1" s="1"/>
  <c r="C36" i="1"/>
  <c r="I24" i="1"/>
  <c r="AA41" i="1" s="1"/>
  <c r="F40" i="1"/>
  <c r="C24" i="1"/>
  <c r="C22" i="1"/>
  <c r="C21" i="1"/>
  <c r="C20" i="1"/>
  <c r="C47" i="1" l="1"/>
  <c r="X47" i="1"/>
  <c r="C45" i="1"/>
  <c r="X45" i="1"/>
  <c r="C46" i="1"/>
  <c r="X46" i="1"/>
  <c r="C48" i="1"/>
  <c r="X48" i="1"/>
  <c r="U19" i="1"/>
  <c r="F41" i="1"/>
  <c r="K20" i="1"/>
  <c r="K19" i="1"/>
  <c r="AB43" i="1" l="1"/>
  <c r="G43" i="1"/>
  <c r="AB44" i="1"/>
  <c r="G44" i="1"/>
</calcChain>
</file>

<file path=xl/sharedStrings.xml><?xml version="1.0" encoding="utf-8"?>
<sst xmlns="http://schemas.openxmlformats.org/spreadsheetml/2006/main" count="122" uniqueCount="32">
  <si>
    <t>CHANGED PART</t>
  </si>
  <si>
    <t>CURRENT BEST</t>
  </si>
  <si>
    <t>PREDECESSOR</t>
  </si>
  <si>
    <t>Drag [N]</t>
  </si>
  <si>
    <t>Downforce [N]</t>
  </si>
  <si>
    <t>Drag</t>
  </si>
  <si>
    <t>Downforce</t>
  </si>
  <si>
    <t>data input</t>
  </si>
  <si>
    <t>front-wing</t>
  </si>
  <si>
    <t>sidepod</t>
  </si>
  <si>
    <t>rear-wing</t>
  </si>
  <si>
    <t>rear wing</t>
  </si>
  <si>
    <t>Net</t>
  </si>
  <si>
    <t>Efficiency</t>
  </si>
  <si>
    <t>Moment around front axis:</t>
  </si>
  <si>
    <t>(assuming 50/50 weight balance)</t>
  </si>
  <si>
    <t>Rear %</t>
  </si>
  <si>
    <t>effective Cl*A</t>
  </si>
  <si>
    <t>effective Cl*A:</t>
  </si>
  <si>
    <t>Front %</t>
  </si>
  <si>
    <t>Cl*A</t>
  </si>
  <si>
    <t>DELTAS</t>
  </si>
  <si>
    <t>Difference to current best</t>
  </si>
  <si>
    <t>Difference to predecessor</t>
  </si>
  <si>
    <t>Change in Newton</t>
  </si>
  <si>
    <t>%</t>
  </si>
  <si>
    <t>Change as Factor</t>
  </si>
  <si>
    <t>rear downforce</t>
  </si>
  <si>
    <t>front downforce</t>
  </si>
  <si>
    <t>Rear Wing V10</t>
  </si>
  <si>
    <t>Front Wing V8</t>
  </si>
  <si>
    <t>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</si>
</sst>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1" fillId="4" borderId="0" xfId="0" applyFont="1" applyFill="1"/>
    <xf numFmtId="0" fontId="0" fillId="4" borderId="0" xfId="0" applyFill="1"/>
    <xf numFmtId="0" fontId="1" fillId="5" borderId="7" xfId="0" applyFont="1" applyFill="1" applyBorder="1"/>
    <xf numFmtId="0" fontId="0" fillId="5" borderId="8" xfId="0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1" fillId="0" borderId="0" xfId="0" applyFont="1"/>
    <xf numFmtId="0" fontId="0" fillId="3" borderId="5" xfId="0" applyFill="1" applyBorder="1"/>
    <xf numFmtId="0" fontId="1" fillId="6" borderId="0" xfId="0" applyFont="1" applyFill="1"/>
    <xf numFmtId="0" fontId="2" fillId="2" borderId="0" xfId="0" applyFont="1" applyFill="1"/>
    <xf numFmtId="0" fontId="1" fillId="3" borderId="11" xfId="0" applyFont="1" applyFill="1" applyBorder="1"/>
    <xf numFmtId="0" fontId="1" fillId="3" borderId="14" xfId="0" applyFont="1" applyFill="1" applyBorder="1"/>
    <xf numFmtId="0" fontId="1" fillId="0" borderId="11" xfId="0" applyFont="1" applyBorder="1"/>
    <xf numFmtId="0" fontId="1" fillId="0" borderId="14" xfId="0" applyFont="1" applyBorder="1"/>
    <xf numFmtId="0" fontId="5" fillId="8" borderId="0" xfId="0" applyFont="1" applyFill="1"/>
    <xf numFmtId="0" fontId="4" fillId="8" borderId="0" xfId="0" applyFont="1" applyFill="1"/>
    <xf numFmtId="0" fontId="5" fillId="9" borderId="0" xfId="0" applyFont="1" applyFill="1"/>
    <xf numFmtId="0" fontId="4" fillId="9" borderId="0" xfId="0" applyFont="1" applyFill="1"/>
    <xf numFmtId="0" fontId="3" fillId="10" borderId="0" xfId="0" applyFont="1" applyFill="1"/>
    <xf numFmtId="0" fontId="0" fillId="10" borderId="0" xfId="0" applyFill="1"/>
    <xf numFmtId="0" fontId="3" fillId="7" borderId="0" xfId="0" applyFont="1" applyFill="1"/>
    <xf numFmtId="0" fontId="0" fillId="7" borderId="0" xfId="0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6" borderId="7" xfId="0" applyFont="1" applyFill="1" applyBorder="1"/>
    <xf numFmtId="0" fontId="1" fillId="0" borderId="5" xfId="0" applyFont="1" applyBorder="1"/>
    <xf numFmtId="0" fontId="1" fillId="6" borderId="5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/>
  </cellXfs>
  <cellStyles count="1">
    <cellStyle name="Normal" xfId="0" builtinId="0"/>
  </cellStyles>
  <dxfs count="2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25F4-85C4-4115-A9F7-91210973B9C8}">
  <dimension ref="B5:AE48"/>
  <sheetViews>
    <sheetView tabSelected="1" zoomScale="40" zoomScaleNormal="40" workbookViewId="0">
      <selection activeCell="K15" sqref="K15"/>
    </sheetView>
  </sheetViews>
  <sheetFormatPr defaultColWidth="11.44140625" defaultRowHeight="14.4" x14ac:dyDescent="0.3"/>
  <sheetData>
    <row r="5" spans="2:31" ht="47.4" x14ac:dyDescent="0.9">
      <c r="B5" s="25" t="s">
        <v>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5" t="s">
        <v>1</v>
      </c>
      <c r="N5" s="26"/>
      <c r="O5" s="26"/>
      <c r="P5" s="26"/>
      <c r="Q5" s="26"/>
      <c r="R5" s="26"/>
      <c r="S5" s="26"/>
      <c r="T5" s="26"/>
      <c r="U5" s="26"/>
      <c r="V5" s="26"/>
      <c r="W5" s="25" t="s">
        <v>2</v>
      </c>
      <c r="X5" s="26"/>
      <c r="Y5" s="26"/>
      <c r="Z5" s="26"/>
      <c r="AA5" s="26"/>
      <c r="AB5" s="26"/>
      <c r="AC5" s="26"/>
      <c r="AD5" s="26"/>
      <c r="AE5" s="26"/>
    </row>
    <row r="8" spans="2:31" ht="29.4" thickBot="1" x14ac:dyDescent="0.6">
      <c r="B8" s="29" t="s">
        <v>30</v>
      </c>
      <c r="C8" s="30"/>
      <c r="D8" s="30"/>
      <c r="E8" s="30"/>
      <c r="F8" s="30"/>
      <c r="G8" s="30"/>
      <c r="H8" s="30"/>
      <c r="I8" s="30"/>
      <c r="M8" s="29" t="s">
        <v>30</v>
      </c>
      <c r="N8" s="30"/>
      <c r="O8" s="30"/>
      <c r="P8" s="30"/>
      <c r="Q8" s="30"/>
      <c r="R8" s="30"/>
      <c r="W8" s="29" t="s">
        <v>29</v>
      </c>
      <c r="X8" s="30"/>
      <c r="Y8" s="30"/>
      <c r="Z8" s="30"/>
      <c r="AA8" s="30"/>
      <c r="AB8" s="30"/>
    </row>
    <row r="9" spans="2:31" ht="21" x14ac:dyDescent="0.4">
      <c r="B9" s="20" t="s">
        <v>3</v>
      </c>
      <c r="C9" s="3"/>
      <c r="D9" s="3"/>
      <c r="E9" s="3"/>
      <c r="F9" s="3"/>
      <c r="G9" s="33" t="s">
        <v>4</v>
      </c>
      <c r="H9" s="34"/>
      <c r="I9" s="3"/>
      <c r="M9" s="37" t="s">
        <v>5</v>
      </c>
      <c r="N9" s="4"/>
      <c r="O9" s="4"/>
      <c r="P9" s="4"/>
      <c r="Q9" s="38" t="s">
        <v>6</v>
      </c>
      <c r="R9" s="5"/>
      <c r="W9" s="37" t="s">
        <v>5</v>
      </c>
      <c r="X9" s="4"/>
      <c r="Y9" s="4"/>
      <c r="Z9" s="4"/>
      <c r="AA9" s="38" t="s">
        <v>6</v>
      </c>
      <c r="AB9" s="5"/>
    </row>
    <row r="10" spans="2:31" x14ac:dyDescent="0.3">
      <c r="B10" s="3"/>
      <c r="C10" s="3" t="s">
        <v>7</v>
      </c>
      <c r="D10" s="3"/>
      <c r="E10" s="3"/>
      <c r="F10" s="3"/>
      <c r="G10" s="3"/>
      <c r="H10" s="3" t="s">
        <v>7</v>
      </c>
      <c r="I10" s="3"/>
      <c r="M10" s="6"/>
      <c r="R10" s="7"/>
      <c r="W10" s="6"/>
      <c r="AB10" s="7"/>
    </row>
    <row r="11" spans="2:31" x14ac:dyDescent="0.3">
      <c r="B11" s="2" t="s">
        <v>8</v>
      </c>
      <c r="C11">
        <v>-13.504250000000001</v>
      </c>
      <c r="D11" s="19">
        <f xml:space="preserve"> -2*C11</f>
        <v>27.008500000000002</v>
      </c>
      <c r="E11" s="3"/>
      <c r="F11" s="3"/>
      <c r="G11" s="2" t="s">
        <v>8</v>
      </c>
      <c r="H11">
        <v>-100.15691</v>
      </c>
      <c r="I11" s="19">
        <f>-2*H11</f>
        <v>200.31381999999999</v>
      </c>
      <c r="M11" s="8" t="s">
        <v>8</v>
      </c>
      <c r="N11" s="19">
        <v>27.2</v>
      </c>
      <c r="Q11" s="17" t="s">
        <v>8</v>
      </c>
      <c r="R11" s="19">
        <v>208.3</v>
      </c>
      <c r="W11" s="8" t="s">
        <v>8</v>
      </c>
      <c r="X11" s="19">
        <v>30.5</v>
      </c>
      <c r="AA11" s="17" t="s">
        <v>8</v>
      </c>
      <c r="AB11" s="19">
        <v>224.2</v>
      </c>
    </row>
    <row r="12" spans="2:31" x14ac:dyDescent="0.3">
      <c r="B12" s="2" t="s">
        <v>9</v>
      </c>
      <c r="C12">
        <v>-11.739884</v>
      </c>
      <c r="D12" s="19">
        <f t="shared" ref="D12:D15" si="0" xml:space="preserve"> -2*C12</f>
        <v>23.479768</v>
      </c>
      <c r="E12" s="3"/>
      <c r="F12" s="3"/>
      <c r="G12" s="2" t="s">
        <v>9</v>
      </c>
      <c r="H12">
        <v>-156.90669</v>
      </c>
      <c r="I12" s="19">
        <f t="shared" ref="I12:I15" si="1">-2*H12</f>
        <v>313.81338</v>
      </c>
      <c r="M12" s="8" t="s">
        <v>9</v>
      </c>
      <c r="N12" s="19">
        <v>24.4</v>
      </c>
      <c r="Q12" s="17" t="s">
        <v>9</v>
      </c>
      <c r="R12" s="19">
        <v>330</v>
      </c>
      <c r="W12" s="8" t="s">
        <v>9</v>
      </c>
      <c r="X12" s="19">
        <v>25.2</v>
      </c>
      <c r="AA12" s="17" t="s">
        <v>9</v>
      </c>
      <c r="AB12" s="19" t="e">
        <v>#VALUE!</v>
      </c>
    </row>
    <row r="13" spans="2:31" x14ac:dyDescent="0.3">
      <c r="B13" s="2" t="s">
        <v>10</v>
      </c>
      <c r="C13">
        <v>-61.497500000000002</v>
      </c>
      <c r="D13" s="19">
        <f t="shared" si="0"/>
        <v>122.995</v>
      </c>
      <c r="E13" s="3"/>
      <c r="F13" s="3"/>
      <c r="G13" s="2" t="s">
        <v>10</v>
      </c>
      <c r="H13">
        <v>-138.14207999999999</v>
      </c>
      <c r="I13" s="19">
        <f t="shared" si="1"/>
        <v>276.28415999999999</v>
      </c>
      <c r="M13" s="8" t="s">
        <v>11</v>
      </c>
      <c r="N13" s="19">
        <v>125.2</v>
      </c>
      <c r="Q13" s="17" t="s">
        <v>11</v>
      </c>
      <c r="R13" s="19">
        <v>287.10000000000002</v>
      </c>
      <c r="W13" s="8" t="s">
        <v>11</v>
      </c>
      <c r="X13" s="19">
        <v>133.30000000000001</v>
      </c>
      <c r="AA13" s="17" t="s">
        <v>11</v>
      </c>
      <c r="AB13" s="19">
        <v>279.60000000000002</v>
      </c>
    </row>
    <row r="14" spans="2:31" x14ac:dyDescent="0.3">
      <c r="B14" s="2"/>
      <c r="C14" s="3"/>
      <c r="D14" s="19">
        <f t="shared" si="0"/>
        <v>0</v>
      </c>
      <c r="E14" s="3"/>
      <c r="F14" s="3"/>
      <c r="G14" s="2"/>
      <c r="H14" s="3"/>
      <c r="I14" s="19">
        <f t="shared" si="1"/>
        <v>0</v>
      </c>
      <c r="M14" s="8"/>
      <c r="N14" s="19">
        <v>0</v>
      </c>
      <c r="Q14" s="17"/>
      <c r="R14" s="19">
        <v>0</v>
      </c>
      <c r="W14" s="8"/>
      <c r="X14" s="19">
        <v>0</v>
      </c>
      <c r="AA14" s="17"/>
      <c r="AB14" s="19">
        <v>0</v>
      </c>
    </row>
    <row r="15" spans="2:31" x14ac:dyDescent="0.3">
      <c r="B15" s="2" t="s">
        <v>12</v>
      </c>
      <c r="C15">
        <v>-120.95551</v>
      </c>
      <c r="D15" s="19">
        <f t="shared" si="0"/>
        <v>241.91102000000001</v>
      </c>
      <c r="E15" s="3"/>
      <c r="F15" s="3"/>
      <c r="G15" s="2" t="s">
        <v>12</v>
      </c>
      <c r="H15">
        <v>-376.86065000000002</v>
      </c>
      <c r="I15" s="19">
        <f t="shared" si="1"/>
        <v>753.72130000000004</v>
      </c>
      <c r="M15" s="8" t="s">
        <v>12</v>
      </c>
      <c r="N15" s="19">
        <v>249</v>
      </c>
      <c r="Q15" s="17" t="s">
        <v>12</v>
      </c>
      <c r="R15" s="19">
        <v>798.2</v>
      </c>
      <c r="W15" s="8" t="s">
        <v>12</v>
      </c>
      <c r="X15" s="19">
        <v>262.89999999999998</v>
      </c>
      <c r="AA15" s="17" t="s">
        <v>12</v>
      </c>
      <c r="AB15" s="19">
        <v>809.8</v>
      </c>
    </row>
    <row r="16" spans="2:31" x14ac:dyDescent="0.3">
      <c r="B16" s="3"/>
      <c r="C16" s="3"/>
      <c r="D16" s="3"/>
      <c r="E16" s="3"/>
      <c r="F16" s="3"/>
      <c r="G16" s="3"/>
      <c r="H16" s="3"/>
      <c r="I16" s="3"/>
      <c r="M16" s="6"/>
      <c r="R16" s="40"/>
      <c r="W16" s="6"/>
      <c r="X16" s="17"/>
      <c r="AB16" s="7"/>
    </row>
    <row r="17" spans="2:31" x14ac:dyDescent="0.3">
      <c r="B17" s="3"/>
      <c r="C17" s="3"/>
      <c r="D17" s="3"/>
      <c r="E17" s="3"/>
      <c r="F17" s="3"/>
      <c r="G17" s="3"/>
      <c r="H17" s="3"/>
      <c r="I17" s="3"/>
      <c r="M17" s="6"/>
      <c r="R17" s="40"/>
      <c r="W17" s="6"/>
      <c r="X17" s="17"/>
      <c r="AB17" s="7"/>
    </row>
    <row r="18" spans="2:31" ht="21.6" thickBot="1" x14ac:dyDescent="0.45">
      <c r="B18" s="20" t="s">
        <v>13</v>
      </c>
      <c r="C18" s="35"/>
      <c r="D18" s="3"/>
      <c r="E18" s="3"/>
      <c r="F18" s="2" t="s">
        <v>14</v>
      </c>
      <c r="G18" s="3"/>
      <c r="H18">
        <v>-313.88956000000002</v>
      </c>
      <c r="I18" s="3"/>
      <c r="J18" t="s">
        <v>15</v>
      </c>
      <c r="M18" s="36" t="s">
        <v>13</v>
      </c>
      <c r="P18" s="17" t="s">
        <v>14</v>
      </c>
      <c r="R18" s="41">
        <v>321.2</v>
      </c>
      <c r="W18" s="36" t="s">
        <v>13</v>
      </c>
      <c r="X18" s="17"/>
      <c r="Z18" s="17" t="s">
        <v>14</v>
      </c>
      <c r="AB18" s="41">
        <v>315</v>
      </c>
    </row>
    <row r="19" spans="2:31" x14ac:dyDescent="0.3">
      <c r="B19" s="3"/>
      <c r="C19" s="3"/>
      <c r="D19" s="3"/>
      <c r="E19" s="3"/>
      <c r="F19" s="3"/>
      <c r="G19" s="2" t="s">
        <v>16</v>
      </c>
      <c r="H19" s="19">
        <f>H18/H15/1.53 *100</f>
        <v>54.438311658009056</v>
      </c>
      <c r="I19" s="21" t="s">
        <v>17</v>
      </c>
      <c r="J19" s="42"/>
      <c r="K19" s="43">
        <f>I24*H19*2/100</f>
        <v>5.9555512953861909</v>
      </c>
      <c r="M19" s="6"/>
      <c r="Q19" s="17" t="s">
        <v>16</v>
      </c>
      <c r="R19" s="19">
        <v>52.6</v>
      </c>
      <c r="S19" s="23" t="s">
        <v>18</v>
      </c>
      <c r="T19" s="42"/>
      <c r="U19" s="43">
        <f>R24*R19*2/100</f>
        <v>6.0910800000000007</v>
      </c>
      <c r="W19" s="6"/>
      <c r="X19" s="17"/>
      <c r="AA19" s="17" t="s">
        <v>16</v>
      </c>
      <c r="AB19" s="19">
        <v>50.9</v>
      </c>
      <c r="AC19" s="23" t="s">
        <v>18</v>
      </c>
      <c r="AD19" s="42"/>
      <c r="AE19" s="43">
        <f>AB24*AB19*2/100</f>
        <v>5.9858399999999996</v>
      </c>
    </row>
    <row r="20" spans="2:31" ht="15" thickBot="1" x14ac:dyDescent="0.35">
      <c r="B20" s="2" t="s">
        <v>8</v>
      </c>
      <c r="C20" s="19">
        <f>ROUND(I11/D11,2)</f>
        <v>7.42</v>
      </c>
      <c r="D20" s="3"/>
      <c r="E20" s="3"/>
      <c r="F20" s="3"/>
      <c r="G20" s="2" t="s">
        <v>19</v>
      </c>
      <c r="H20" s="19">
        <f>100-H19</f>
        <v>45.561688341990944</v>
      </c>
      <c r="I20" s="22" t="s">
        <v>17</v>
      </c>
      <c r="J20" s="44"/>
      <c r="K20" s="45">
        <f>I24*H20*2/100</f>
        <v>4.9844487046138086</v>
      </c>
      <c r="M20" s="8" t="s">
        <v>8</v>
      </c>
      <c r="N20" s="19">
        <f>ROUND(R11/N11,2)</f>
        <v>7.66</v>
      </c>
      <c r="Q20" s="17" t="s">
        <v>19</v>
      </c>
      <c r="R20" s="19">
        <v>47.4</v>
      </c>
      <c r="S20" s="24" t="s">
        <v>18</v>
      </c>
      <c r="T20" s="44"/>
      <c r="U20" s="45">
        <f>R24*R20*2/100</f>
        <v>5.4889199999999994</v>
      </c>
      <c r="W20" s="8" t="s">
        <v>8</v>
      </c>
      <c r="X20" s="19">
        <f>ROUND(AB11/X11,2)</f>
        <v>7.35</v>
      </c>
      <c r="AA20" s="17" t="s">
        <v>19</v>
      </c>
      <c r="AB20" s="19">
        <v>49.1</v>
      </c>
      <c r="AC20" s="24" t="s">
        <v>18</v>
      </c>
      <c r="AD20" s="44"/>
      <c r="AE20" s="45">
        <f>AB24*AB20*2/100</f>
        <v>5.7741600000000002</v>
      </c>
    </row>
    <row r="21" spans="2:31" x14ac:dyDescent="0.3">
      <c r="B21" s="2" t="s">
        <v>9</v>
      </c>
      <c r="C21" s="19">
        <f t="shared" ref="C21:C24" si="2">ROUND(I12/D12,2)</f>
        <v>13.37</v>
      </c>
      <c r="D21" s="3"/>
      <c r="E21" s="3"/>
      <c r="F21" s="3"/>
      <c r="G21" s="3"/>
      <c r="H21" s="3"/>
      <c r="I21" s="3"/>
      <c r="M21" s="8" t="s">
        <v>9</v>
      </c>
      <c r="N21" s="19">
        <f>ROUND(R12/N12,2)</f>
        <v>13.52</v>
      </c>
      <c r="W21" s="8" t="s">
        <v>9</v>
      </c>
      <c r="X21" s="19" t="e">
        <f>ROUND(AB12/X12,2)</f>
        <v>#VALUE!</v>
      </c>
    </row>
    <row r="22" spans="2:31" x14ac:dyDescent="0.3">
      <c r="B22" s="2" t="s">
        <v>10</v>
      </c>
      <c r="C22" s="19">
        <f t="shared" si="2"/>
        <v>2.25</v>
      </c>
      <c r="D22" s="3"/>
      <c r="E22" s="3"/>
      <c r="F22" s="3"/>
      <c r="G22" s="3"/>
      <c r="H22" s="2"/>
      <c r="I22" s="18"/>
      <c r="M22" s="8" t="s">
        <v>11</v>
      </c>
      <c r="N22" s="19">
        <f>ROUND(R13/N13,2)</f>
        <v>2.29</v>
      </c>
      <c r="W22" s="8" t="s">
        <v>11</v>
      </c>
      <c r="X22" s="19">
        <f>ROUND(AB13/X13,2)</f>
        <v>2.1</v>
      </c>
    </row>
    <row r="23" spans="2:31" x14ac:dyDescent="0.3">
      <c r="B23" s="2"/>
      <c r="C23" s="19"/>
      <c r="D23" s="3"/>
      <c r="E23" s="3"/>
      <c r="F23" s="3"/>
      <c r="G23" s="3"/>
      <c r="H23" s="3"/>
      <c r="I23" s="3"/>
      <c r="M23" s="8"/>
      <c r="N23" s="19"/>
      <c r="R23" s="7"/>
      <c r="W23" s="8"/>
      <c r="X23" s="19"/>
      <c r="AB23" s="7"/>
    </row>
    <row r="24" spans="2:31" ht="15" thickBot="1" x14ac:dyDescent="0.35">
      <c r="B24" s="2" t="s">
        <v>12</v>
      </c>
      <c r="C24" s="19">
        <f t="shared" si="2"/>
        <v>3.12</v>
      </c>
      <c r="D24" s="3"/>
      <c r="E24" s="3"/>
      <c r="F24" s="3" t="s">
        <v>31</v>
      </c>
      <c r="G24" s="3"/>
      <c r="H24" s="11" t="s">
        <v>20</v>
      </c>
      <c r="I24" s="12">
        <f>ROUND(I15/1.225/0.5/15/15,2)</f>
        <v>5.47</v>
      </c>
      <c r="M24" s="9" t="s">
        <v>12</v>
      </c>
      <c r="N24" s="39">
        <f>ROUND(R15/N15,2)</f>
        <v>3.21</v>
      </c>
      <c r="O24" s="10"/>
      <c r="P24" s="10"/>
      <c r="Q24" s="13" t="s">
        <v>20</v>
      </c>
      <c r="R24" s="14">
        <f>ROUND(R15/137.813,2)</f>
        <v>5.79</v>
      </c>
      <c r="W24" s="9" t="s">
        <v>12</v>
      </c>
      <c r="X24" s="39">
        <f>ROUND(AB15/X15,2)</f>
        <v>3.08</v>
      </c>
      <c r="Y24" s="10"/>
      <c r="Z24" s="10"/>
      <c r="AA24" s="13" t="s">
        <v>20</v>
      </c>
      <c r="AB24" s="14">
        <f>ROUND(AB15/137.813,2)</f>
        <v>5.88</v>
      </c>
    </row>
    <row r="30" spans="2:31" ht="47.4" x14ac:dyDescent="0.9">
      <c r="B30" s="27" t="s">
        <v>21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3" spans="2:29" ht="28.8" x14ac:dyDescent="0.55000000000000004">
      <c r="B33" s="31" t="s">
        <v>22</v>
      </c>
      <c r="C33" s="32"/>
      <c r="D33" s="32"/>
      <c r="E33" s="32"/>
      <c r="F33" s="32"/>
      <c r="G33" s="32"/>
      <c r="W33" s="31" t="s">
        <v>23</v>
      </c>
      <c r="X33" s="32"/>
      <c r="Y33" s="32"/>
      <c r="Z33" s="32"/>
      <c r="AA33" s="32"/>
      <c r="AB33" s="32"/>
    </row>
    <row r="34" spans="2:29" x14ac:dyDescent="0.3">
      <c r="B34" s="1" t="s">
        <v>5</v>
      </c>
      <c r="C34" s="3" t="s">
        <v>24</v>
      </c>
      <c r="D34" s="3"/>
      <c r="E34" s="1" t="s">
        <v>6</v>
      </c>
      <c r="F34" s="3" t="s">
        <v>24</v>
      </c>
      <c r="G34" s="3"/>
      <c r="W34" s="1" t="s">
        <v>5</v>
      </c>
      <c r="X34" s="3" t="s">
        <v>24</v>
      </c>
      <c r="Y34" s="3"/>
      <c r="Z34" s="1" t="s">
        <v>6</v>
      </c>
      <c r="AA34" s="3" t="s">
        <v>24</v>
      </c>
      <c r="AB34" s="3"/>
    </row>
    <row r="35" spans="2:29" x14ac:dyDescent="0.3">
      <c r="B35" s="3"/>
      <c r="C35" s="3"/>
      <c r="D35" s="3"/>
      <c r="E35" s="3"/>
      <c r="F35" s="3"/>
      <c r="G35" s="3"/>
      <c r="W35" s="3"/>
      <c r="X35" s="3"/>
      <c r="Y35" s="3"/>
      <c r="Z35" s="3"/>
      <c r="AA35" s="3"/>
      <c r="AB35" s="3"/>
    </row>
    <row r="36" spans="2:29" x14ac:dyDescent="0.3">
      <c r="B36" s="2" t="s">
        <v>8</v>
      </c>
      <c r="C36" s="3">
        <f>N11-D11</f>
        <v>0.19149999999999778</v>
      </c>
      <c r="D36" s="3"/>
      <c r="E36" s="2" t="s">
        <v>8</v>
      </c>
      <c r="F36" s="3">
        <f>I11-R11</f>
        <v>-7.9861800000000187</v>
      </c>
      <c r="G36" s="3"/>
      <c r="W36" s="2" t="s">
        <v>8</v>
      </c>
      <c r="X36" s="3">
        <f>X11-D11</f>
        <v>3.4914999999999985</v>
      </c>
      <c r="Y36" s="3"/>
      <c r="Z36" s="2" t="s">
        <v>8</v>
      </c>
      <c r="AA36" s="3">
        <f>I11-AB11</f>
        <v>-23.886179999999996</v>
      </c>
      <c r="AB36" s="3"/>
    </row>
    <row r="37" spans="2:29" x14ac:dyDescent="0.3">
      <c r="B37" s="2" t="s">
        <v>9</v>
      </c>
      <c r="C37" s="3">
        <f>N12-D12</f>
        <v>0.92023199999999861</v>
      </c>
      <c r="D37" s="3"/>
      <c r="E37" s="2" t="s">
        <v>9</v>
      </c>
      <c r="F37" s="3">
        <f>I12-R12</f>
        <v>-16.186620000000005</v>
      </c>
      <c r="G37" s="3"/>
      <c r="W37" s="2" t="s">
        <v>9</v>
      </c>
      <c r="X37" s="3">
        <f>X12-D12</f>
        <v>1.7202319999999993</v>
      </c>
      <c r="Y37" s="3"/>
      <c r="Z37" s="2" t="s">
        <v>9</v>
      </c>
      <c r="AA37" s="3" t="e">
        <f>I12-AB12</f>
        <v>#VALUE!</v>
      </c>
      <c r="AB37" s="3"/>
    </row>
    <row r="38" spans="2:29" x14ac:dyDescent="0.3">
      <c r="B38" s="2" t="s">
        <v>11</v>
      </c>
      <c r="C38" s="3">
        <f>D13-N13</f>
        <v>-2.2049999999999983</v>
      </c>
      <c r="D38" s="3"/>
      <c r="E38" s="2" t="s">
        <v>11</v>
      </c>
      <c r="F38" s="3">
        <f>I13-R13</f>
        <v>-10.815840000000037</v>
      </c>
      <c r="G38" s="3"/>
      <c r="W38" s="2" t="s">
        <v>11</v>
      </c>
      <c r="X38" s="3">
        <f>D13-X13</f>
        <v>-10.305000000000007</v>
      </c>
      <c r="Y38" s="3"/>
      <c r="Z38" s="2" t="s">
        <v>11</v>
      </c>
      <c r="AA38" s="3">
        <f>I13-AB13</f>
        <v>-3.315840000000037</v>
      </c>
      <c r="AB38" s="3"/>
    </row>
    <row r="39" spans="2:29" x14ac:dyDescent="0.3">
      <c r="B39" s="2"/>
      <c r="C39" s="3">
        <f>D14-N14</f>
        <v>0</v>
      </c>
      <c r="D39" s="3"/>
      <c r="E39" s="2"/>
      <c r="F39" s="3">
        <f>I14-R14</f>
        <v>0</v>
      </c>
      <c r="G39" s="3"/>
      <c r="W39" s="2"/>
      <c r="X39" s="3">
        <f>O14-Y14</f>
        <v>0</v>
      </c>
      <c r="Y39" s="3"/>
      <c r="Z39" s="2"/>
      <c r="AA39" s="3">
        <f>T14-AC14</f>
        <v>0</v>
      </c>
      <c r="AB39" s="3"/>
    </row>
    <row r="40" spans="2:29" ht="15" thickBot="1" x14ac:dyDescent="0.35">
      <c r="B40" s="2" t="s">
        <v>12</v>
      </c>
      <c r="C40" s="3">
        <f>D15-N15</f>
        <v>-7.0889799999999923</v>
      </c>
      <c r="D40" s="3"/>
      <c r="E40" s="2" t="s">
        <v>12</v>
      </c>
      <c r="F40" s="3">
        <f>I15-R15</f>
        <v>-44.478700000000003</v>
      </c>
      <c r="G40" s="3"/>
      <c r="W40" s="2" t="s">
        <v>12</v>
      </c>
      <c r="X40" s="3">
        <f>D15-X15</f>
        <v>-20.98897999999997</v>
      </c>
      <c r="Y40" s="3"/>
      <c r="Z40" s="2" t="s">
        <v>12</v>
      </c>
      <c r="AA40" s="3">
        <f>I15-AB15</f>
        <v>-56.078699999999913</v>
      </c>
      <c r="AB40" s="3"/>
    </row>
    <row r="41" spans="2:29" ht="21.6" thickBot="1" x14ac:dyDescent="0.45">
      <c r="B41" s="3"/>
      <c r="C41" s="3"/>
      <c r="D41" s="3"/>
      <c r="E41" s="2"/>
      <c r="F41" s="15">
        <f>((I24/R24)-1) *100</f>
        <v>-5.5267702936096725</v>
      </c>
      <c r="G41" s="16" t="s">
        <v>25</v>
      </c>
      <c r="W41" s="3"/>
      <c r="X41" s="3"/>
      <c r="Y41" s="3"/>
      <c r="Z41" s="2"/>
      <c r="AA41" s="15">
        <f>((I24/AB24)-1) *100</f>
        <v>-6.9727891156462611</v>
      </c>
      <c r="AB41" s="16" t="s">
        <v>25</v>
      </c>
    </row>
    <row r="42" spans="2:29" x14ac:dyDescent="0.3">
      <c r="B42" s="3"/>
      <c r="C42" s="3"/>
      <c r="D42" s="3"/>
      <c r="E42" s="3"/>
      <c r="F42" s="3"/>
      <c r="G42" s="3"/>
      <c r="W42" s="3"/>
      <c r="X42" s="3"/>
      <c r="Y42" s="3"/>
      <c r="Z42" s="3"/>
      <c r="AA42" s="3"/>
      <c r="AB42" s="3"/>
    </row>
    <row r="43" spans="2:29" x14ac:dyDescent="0.3">
      <c r="B43" s="1" t="s">
        <v>13</v>
      </c>
      <c r="C43" s="3" t="s">
        <v>26</v>
      </c>
      <c r="D43" s="3"/>
      <c r="E43" s="2" t="s">
        <v>27</v>
      </c>
      <c r="F43" s="3"/>
      <c r="G43" s="2">
        <f>K19/U19*100-100</f>
        <v>-2.2250357016130096</v>
      </c>
      <c r="H43" t="s">
        <v>25</v>
      </c>
      <c r="W43" s="1" t="s">
        <v>13</v>
      </c>
      <c r="X43" s="3" t="s">
        <v>26</v>
      </c>
      <c r="Y43" s="3"/>
      <c r="Z43" s="2" t="s">
        <v>27</v>
      </c>
      <c r="AA43" s="3"/>
      <c r="AB43" s="2">
        <f>K19/AE19*100-100</f>
        <v>-0.50600591752885293</v>
      </c>
      <c r="AC43" t="s">
        <v>25</v>
      </c>
    </row>
    <row r="44" spans="2:29" x14ac:dyDescent="0.3">
      <c r="B44" s="3"/>
      <c r="C44" s="3"/>
      <c r="D44" s="3"/>
      <c r="E44" s="2" t="s">
        <v>28</v>
      </c>
      <c r="F44" s="3"/>
      <c r="G44" s="2">
        <f>K20/U20*100-100</f>
        <v>-9.190720494854915</v>
      </c>
      <c r="H44" t="s">
        <v>25</v>
      </c>
      <c r="W44" s="3"/>
      <c r="X44" s="3"/>
      <c r="Y44" s="3"/>
      <c r="Z44" s="2" t="s">
        <v>28</v>
      </c>
      <c r="AA44" s="3"/>
      <c r="AB44" s="2">
        <f>K20/AE20*100-100</f>
        <v>-13.676643795568395</v>
      </c>
      <c r="AC44" t="s">
        <v>25</v>
      </c>
    </row>
    <row r="45" spans="2:29" x14ac:dyDescent="0.3">
      <c r="B45" s="2" t="s">
        <v>8</v>
      </c>
      <c r="C45" s="3">
        <f>ROUND(C20/N20,3)</f>
        <v>0.96899999999999997</v>
      </c>
      <c r="D45" s="3"/>
      <c r="E45" s="3"/>
      <c r="F45" s="3"/>
      <c r="G45" s="3"/>
      <c r="W45" s="2" t="s">
        <v>8</v>
      </c>
      <c r="X45" s="3">
        <f>ROUND(C20/X20,3)</f>
        <v>1.01</v>
      </c>
      <c r="Y45" s="3"/>
      <c r="Z45" s="3"/>
      <c r="AA45" s="3"/>
      <c r="AB45" s="3"/>
    </row>
    <row r="46" spans="2:29" x14ac:dyDescent="0.3">
      <c r="B46" s="2" t="s">
        <v>9</v>
      </c>
      <c r="C46" s="3">
        <f>ROUND(C21/N21,3)</f>
        <v>0.98899999999999999</v>
      </c>
      <c r="D46" s="3"/>
      <c r="E46" s="3"/>
      <c r="F46" s="3"/>
      <c r="G46" s="3"/>
      <c r="W46" s="2" t="s">
        <v>9</v>
      </c>
      <c r="X46" s="3" t="e">
        <f>ROUND(C21/X21,3)</f>
        <v>#VALUE!</v>
      </c>
      <c r="Y46" s="3"/>
      <c r="Z46" s="3"/>
      <c r="AA46" s="3"/>
      <c r="AB46" s="3"/>
    </row>
    <row r="47" spans="2:29" x14ac:dyDescent="0.3">
      <c r="B47" s="2" t="s">
        <v>11</v>
      </c>
      <c r="C47" s="3">
        <f>ROUND(C22/N22,3)</f>
        <v>0.98299999999999998</v>
      </c>
      <c r="D47" s="3"/>
      <c r="E47" s="3"/>
      <c r="F47" s="3"/>
      <c r="G47" s="3"/>
      <c r="W47" s="2" t="s">
        <v>11</v>
      </c>
      <c r="X47" s="3">
        <f>ROUND(C22/X22,3)</f>
        <v>1.071</v>
      </c>
      <c r="Y47" s="3"/>
      <c r="Z47" s="3"/>
      <c r="AA47" s="3"/>
      <c r="AB47" s="3"/>
    </row>
    <row r="48" spans="2:29" x14ac:dyDescent="0.3">
      <c r="B48" s="2" t="s">
        <v>12</v>
      </c>
      <c r="C48" s="3">
        <f>ROUND(C24/N24,3)</f>
        <v>0.97199999999999998</v>
      </c>
      <c r="D48" s="3"/>
      <c r="E48" s="3"/>
      <c r="F48" s="3"/>
      <c r="G48" s="3"/>
      <c r="W48" s="2" t="s">
        <v>12</v>
      </c>
      <c r="X48" s="3">
        <f>ROUND(C24/X24,3)</f>
        <v>1.0129999999999999</v>
      </c>
      <c r="Y48" s="3"/>
      <c r="Z48" s="3"/>
      <c r="AA48" s="3"/>
      <c r="AB48" s="3"/>
    </row>
  </sheetData>
  <conditionalFormatting sqref="C36:C40">
    <cfRule type="cellIs" dxfId="22" priority="16" operator="lessThan">
      <formula>0</formula>
    </cfRule>
    <cfRule type="cellIs" dxfId="21" priority="17" operator="greaterThan">
      <formula>0</formula>
    </cfRule>
    <cfRule type="cellIs" dxfId="20" priority="25" operator="lessThan">
      <formula>0</formula>
    </cfRule>
    <cfRule type="cellIs" dxfId="19" priority="26" operator="greaterThan">
      <formula>0</formula>
    </cfRule>
  </conditionalFormatting>
  <conditionalFormatting sqref="C45:C48">
    <cfRule type="cellIs" dxfId="18" priority="23" operator="lessThan">
      <formula>1</formula>
    </cfRule>
    <cfRule type="cellIs" dxfId="17" priority="24" operator="greaterThan">
      <formula>1</formula>
    </cfRule>
  </conditionalFormatting>
  <conditionalFormatting sqref="F36:F41">
    <cfRule type="cellIs" dxfId="16" priority="19" operator="lessThan">
      <formula>0</formula>
    </cfRule>
    <cfRule type="cellIs" dxfId="15" priority="20" operator="greaterThan">
      <formula>0</formula>
    </cfRule>
  </conditionalFormatting>
  <conditionalFormatting sqref="G43:G44">
    <cfRule type="cellIs" dxfId="14" priority="3" operator="greaterThan">
      <formula>0</formula>
    </cfRule>
    <cfRule type="cellIs" dxfId="13" priority="4" operator="lessThan">
      <formula>0</formula>
    </cfRule>
  </conditionalFormatting>
  <conditionalFormatting sqref="K19:K20">
    <cfRule type="cellIs" dxfId="12" priority="15" operator="lessThan">
      <formula>$I$24</formula>
    </cfRule>
  </conditionalFormatting>
  <conditionalFormatting sqref="U19:U20">
    <cfRule type="cellIs" dxfId="11" priority="14" operator="lessThan">
      <formula>$R$24</formula>
    </cfRule>
  </conditionalFormatting>
  <conditionalFormatting sqref="X36:X40">
    <cfRule type="cellIs" dxfId="10" priority="5" operator="lessThan">
      <formula>0</formula>
    </cfRule>
    <cfRule type="cellIs" dxfId="9" priority="6" operator="greaterThan">
      <formula>0</formula>
    </cfRule>
    <cfRule type="cellIs" dxfId="8" priority="11" operator="lessThan">
      <formula>0</formula>
    </cfRule>
    <cfRule type="cellIs" dxfId="7" priority="12" operator="greaterThan">
      <formula>0</formula>
    </cfRule>
  </conditionalFormatting>
  <conditionalFormatting sqref="X45:X48">
    <cfRule type="cellIs" dxfId="6" priority="9" operator="lessThan">
      <formula>1</formula>
    </cfRule>
    <cfRule type="cellIs" dxfId="5" priority="10" operator="greaterThan">
      <formula>1</formula>
    </cfRule>
  </conditionalFormatting>
  <conditionalFormatting sqref="AA36:AA41">
    <cfRule type="cellIs" dxfId="4" priority="7" operator="lessThan">
      <formula>0</formula>
    </cfRule>
    <cfRule type="cellIs" dxfId="3" priority="8" operator="greaterThan">
      <formula>0</formula>
    </cfRule>
  </conditionalFormatting>
  <conditionalFormatting sqref="AB43:AB44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AE19:AE20">
    <cfRule type="cellIs" dxfId="0" priority="13" operator="lessThan">
      <formula>$R$24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8990a-3bbc-4d97-9914-e4013f5f9be3" xsi:nil="true"/>
    <lcf76f155ced4ddcb4097134ff3c332f xmlns="1b7c6d3d-fa67-4fd3-b9fd-cdb63365f37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AABCCE3CBDE499903839A3633028E" ma:contentTypeVersion="16" ma:contentTypeDescription="Crée un document." ma:contentTypeScope="" ma:versionID="583ad632d31837a8a208ca0cf4894722">
  <xsd:schema xmlns:xsd="http://www.w3.org/2001/XMLSchema" xmlns:xs="http://www.w3.org/2001/XMLSchema" xmlns:p="http://schemas.microsoft.com/office/2006/metadata/properties" xmlns:ns2="1b7c6d3d-fa67-4fd3-b9fd-cdb63365f37e" xmlns:ns3="d1f8990a-3bbc-4d97-9914-e4013f5f9be3" targetNamespace="http://schemas.microsoft.com/office/2006/metadata/properties" ma:root="true" ma:fieldsID="314bda0c804c2e235f46cc5aebda720d" ns2:_="" ns3:_="">
    <xsd:import namespace="1b7c6d3d-fa67-4fd3-b9fd-cdb63365f37e"/>
    <xsd:import namespace="d1f8990a-3bbc-4d97-9914-e4013f5f9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c6d3d-fa67-4fd3-b9fd-cdb63365f3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8990a-3bbc-4d97-9914-e4013f5f9b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483f02d-a93d-4d8e-95fd-327906b6787e}" ma:internalName="TaxCatchAll" ma:showField="CatchAllData" ma:web="d1f8990a-3bbc-4d97-9914-e4013f5f9b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007BE-68F4-4DCA-BD51-E2E87562CB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6875FF-C760-483B-A4F3-AAC0621811DE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d1f8990a-3bbc-4d97-9914-e4013f5f9be3"/>
    <ds:schemaRef ds:uri="1b7c6d3d-fa67-4fd3-b9fd-cdb63365f37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D2E7514-9C88-468C-B29B-079F926536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Peikert Linus</dc:creator>
  <cp:keywords/>
  <dc:description/>
  <cp:lastModifiedBy>Jaquet Brice Noah</cp:lastModifiedBy>
  <cp:revision/>
  <dcterms:created xsi:type="dcterms:W3CDTF">2025-04-29T08:44:27Z</dcterms:created>
  <dcterms:modified xsi:type="dcterms:W3CDTF">2026-01-18T00:05:55Z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0x010100C01AABCCE3CBDE499903839A3633028E</vt:lpwstr>
  </property>
  <property fmtid="{D5CDD505-2E9C-101B-9397-08002B2CF9AE}" pid="3" name="MediaServiceImageTags">
    <vt:lpwstr/>
  </property>
</Properties>
</file>